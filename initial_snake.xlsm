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RCS\snake\"/>
    </mc:Choice>
  </mc:AlternateContent>
  <bookViews>
    <workbookView xWindow="0" yWindow="0" windowWidth="23040" windowHeight="7464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 a="1"/>
  <c r="C4" i="1" s="1"/>
  <c r="D4" i="1" a="1"/>
  <c r="D4" i="1" s="1"/>
  <c r="E4" i="1" a="1"/>
  <c r="E4" i="1" s="1"/>
  <c r="F4" i="1" a="1"/>
  <c r="F4" i="1" s="1"/>
  <c r="G4" i="1" a="1"/>
  <c r="G4" i="1" s="1"/>
  <c r="H4" i="1" a="1"/>
  <c r="H4" i="1" s="1"/>
  <c r="I4" i="1" a="1"/>
  <c r="I4" i="1" s="1"/>
  <c r="J4" i="1" a="1"/>
  <c r="J4" i="1" s="1"/>
  <c r="K4" i="1" a="1"/>
  <c r="K4" i="1" s="1"/>
  <c r="L4" i="1" a="1"/>
  <c r="L4" i="1" s="1"/>
  <c r="M4" i="1" a="1"/>
  <c r="M4" i="1" s="1"/>
  <c r="N4" i="1" a="1"/>
  <c r="N4" i="1" s="1"/>
  <c r="O4" i="1" a="1"/>
  <c r="O4" i="1" s="1"/>
  <c r="C5" i="1" a="1"/>
  <c r="C5" i="1" s="1"/>
  <c r="D5" i="1" a="1"/>
  <c r="D5" i="1" s="1"/>
  <c r="E5" i="1" a="1"/>
  <c r="E5" i="1" s="1"/>
  <c r="F5" i="1" a="1"/>
  <c r="F5" i="1" s="1"/>
  <c r="G5" i="1" a="1"/>
  <c r="G5" i="1" s="1"/>
  <c r="H5" i="1" a="1"/>
  <c r="H5" i="1" s="1"/>
  <c r="I5" i="1" a="1"/>
  <c r="I5" i="1" s="1"/>
  <c r="J5" i="1" a="1"/>
  <c r="J5" i="1" s="1"/>
  <c r="K5" i="1" a="1"/>
  <c r="K5" i="1" s="1"/>
  <c r="L5" i="1" a="1"/>
  <c r="L5" i="1" s="1"/>
  <c r="M5" i="1" a="1"/>
  <c r="M5" i="1" s="1"/>
  <c r="N5" i="1" a="1"/>
  <c r="N5" i="1" s="1"/>
  <c r="O5" i="1" a="1"/>
  <c r="O5" i="1" s="1"/>
  <c r="C6" i="1" a="1"/>
  <c r="C6" i="1" s="1"/>
  <c r="D6" i="1" a="1"/>
  <c r="D6" i="1" s="1"/>
  <c r="E6" i="1" a="1"/>
  <c r="E6" i="1" s="1"/>
  <c r="F6" i="1" a="1"/>
  <c r="F6" i="1" s="1"/>
  <c r="G6" i="1" a="1"/>
  <c r="G6" i="1" s="1"/>
  <c r="H6" i="1" a="1"/>
  <c r="H6" i="1" s="1"/>
  <c r="I6" i="1" a="1"/>
  <c r="I6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C7" i="1" a="1"/>
  <c r="C7" i="1" s="1"/>
  <c r="D7" i="1" a="1"/>
  <c r="D7" i="1" s="1"/>
  <c r="E7" i="1" a="1"/>
  <c r="E7" i="1" s="1"/>
  <c r="F7" i="1" a="1"/>
  <c r="F7" i="1" s="1"/>
  <c r="G7" i="1" a="1"/>
  <c r="G7" i="1" s="1"/>
  <c r="H7" i="1" a="1"/>
  <c r="H7" i="1" s="1"/>
  <c r="I7" i="1" a="1"/>
  <c r="I7" i="1" s="1"/>
  <c r="J7" i="1" a="1"/>
  <c r="J7" i="1" s="1"/>
  <c r="K7" i="1" a="1"/>
  <c r="K7" i="1" s="1"/>
  <c r="L7" i="1" a="1"/>
  <c r="L7" i="1" s="1"/>
  <c r="M7" i="1" a="1"/>
  <c r="M7" i="1" s="1"/>
  <c r="N7" i="1" a="1"/>
  <c r="N7" i="1" s="1"/>
  <c r="O7" i="1" a="1"/>
  <c r="O7" i="1" s="1"/>
  <c r="C8" i="1" a="1"/>
  <c r="C8" i="1" s="1"/>
  <c r="D8" i="1" a="1"/>
  <c r="D8" i="1" s="1"/>
  <c r="E8" i="1" a="1"/>
  <c r="E8" i="1" s="1"/>
  <c r="F8" i="1" a="1"/>
  <c r="F8" i="1" s="1"/>
  <c r="G8" i="1" a="1"/>
  <c r="G8" i="1" s="1"/>
  <c r="H8" i="1" a="1"/>
  <c r="H8" i="1" s="1"/>
  <c r="I8" i="1" a="1"/>
  <c r="I8" i="1" s="1"/>
  <c r="J8" i="1" a="1"/>
  <c r="J8" i="1" s="1"/>
  <c r="K8" i="1" a="1"/>
  <c r="K8" i="1" s="1"/>
  <c r="L8" i="1" a="1"/>
  <c r="L8" i="1" s="1"/>
  <c r="M8" i="1" a="1"/>
  <c r="M8" i="1" s="1"/>
  <c r="N8" i="1" a="1"/>
  <c r="N8" i="1" s="1"/>
  <c r="O8" i="1" a="1"/>
  <c r="O8" i="1" s="1"/>
  <c r="C9" i="1" a="1"/>
  <c r="C9" i="1" s="1"/>
  <c r="D9" i="1" a="1"/>
  <c r="D9" i="1" s="1"/>
  <c r="E9" i="1" a="1"/>
  <c r="E9" i="1" s="1"/>
  <c r="F9" i="1" a="1"/>
  <c r="F9" i="1" s="1"/>
  <c r="G9" i="1" a="1"/>
  <c r="G9" i="1" s="1"/>
  <c r="H9" i="1" a="1"/>
  <c r="H9" i="1" s="1"/>
  <c r="I9" i="1" a="1"/>
  <c r="I9" i="1" s="1"/>
  <c r="J9" i="1" a="1"/>
  <c r="J9" i="1" s="1"/>
  <c r="K9" i="1" a="1"/>
  <c r="K9" i="1" s="1"/>
  <c r="L9" i="1" a="1"/>
  <c r="L9" i="1" s="1"/>
  <c r="M9" i="1" a="1"/>
  <c r="M9" i="1" s="1"/>
  <c r="N9" i="1" a="1"/>
  <c r="N9" i="1" s="1"/>
  <c r="O9" i="1" a="1"/>
  <c r="O9" i="1" s="1"/>
  <c r="C10" i="1" a="1"/>
  <c r="C10" i="1" s="1"/>
  <c r="D10" i="1" a="1"/>
  <c r="D10" i="1" s="1"/>
  <c r="E10" i="1" a="1"/>
  <c r="E10" i="1" s="1"/>
  <c r="F10" i="1" a="1"/>
  <c r="F10" i="1" s="1"/>
  <c r="G10" i="1" a="1"/>
  <c r="G10" i="1" s="1"/>
  <c r="H10" i="1" a="1"/>
  <c r="H10" i="1" s="1"/>
  <c r="I10" i="1" a="1"/>
  <c r="I10" i="1" s="1"/>
  <c r="J10" i="1" a="1"/>
  <c r="J10" i="1" s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C11" i="1" a="1"/>
  <c r="C11" i="1" s="1"/>
  <c r="D11" i="1" a="1"/>
  <c r="D11" i="1" s="1"/>
  <c r="E11" i="1" a="1"/>
  <c r="E11" i="1" s="1"/>
  <c r="F11" i="1" a="1"/>
  <c r="F11" i="1" s="1"/>
  <c r="G11" i="1" a="1"/>
  <c r="G11" i="1" s="1"/>
  <c r="H11" i="1" a="1"/>
  <c r="H11" i="1" s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C12" i="1" a="1"/>
  <c r="C12" i="1" s="1"/>
  <c r="D12" i="1" a="1"/>
  <c r="D12" i="1" s="1"/>
  <c r="E12" i="1" a="1"/>
  <c r="E12" i="1" s="1"/>
  <c r="F12" i="1" a="1"/>
  <c r="F12" i="1" s="1"/>
  <c r="G12" i="1" a="1"/>
  <c r="G12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C13" i="1" a="1"/>
  <c r="C13" i="1" s="1"/>
  <c r="D13" i="1" a="1"/>
  <c r="D13" i="1" s="1"/>
  <c r="E13" i="1" a="1"/>
  <c r="E13" i="1" s="1"/>
  <c r="F13" i="1" a="1"/>
  <c r="F13" i="1" s="1"/>
  <c r="G13" i="1" a="1"/>
  <c r="G13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C14" i="1" a="1"/>
  <c r="C14" i="1" s="1"/>
  <c r="D14" i="1" a="1"/>
  <c r="D14" i="1" s="1"/>
  <c r="E14" i="1" a="1"/>
  <c r="E14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C15" i="1" a="1"/>
  <c r="C15" i="1" s="1"/>
  <c r="D15" i="1" a="1"/>
  <c r="D15" i="1" s="1"/>
  <c r="E15" i="1" a="1"/>
  <c r="E15" i="1" s="1"/>
  <c r="F15" i="1" a="1"/>
  <c r="F15" i="1" s="1"/>
  <c r="G15" i="1" a="1"/>
  <c r="G15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M15" i="1" a="1"/>
  <c r="M15" i="1" s="1"/>
  <c r="N15" i="1" a="1"/>
  <c r="N15" i="1" s="1"/>
  <c r="O15" i="1" a="1"/>
  <c r="O15" i="1" s="1"/>
  <c r="AE2" i="1" l="1"/>
  <c r="T5" i="1"/>
  <c r="T6" i="1" s="1"/>
  <c r="T7" i="1" s="1"/>
  <c r="T8" i="1" s="1"/>
  <c r="T9" i="1" s="1"/>
  <c r="T10" i="1" s="1"/>
  <c r="T11" i="1" s="1"/>
  <c r="T12" i="1" s="1"/>
  <c r="T13" i="1" s="1"/>
  <c r="T14" i="1" s="1"/>
  <c r="AL6" i="1"/>
  <c r="AN14" i="1"/>
  <c r="AN13" i="1"/>
  <c r="AN12" i="1"/>
  <c r="AN11" i="1"/>
  <c r="AN10" i="1"/>
  <c r="AN9" i="1"/>
  <c r="AN8" i="1"/>
  <c r="AN7" i="1"/>
  <c r="AN6" i="1"/>
  <c r="AM6" i="1"/>
  <c r="AM14" i="1"/>
  <c r="AM13" i="1"/>
  <c r="AM12" i="1"/>
  <c r="AM11" i="1"/>
  <c r="AM10" i="1"/>
  <c r="AM9" i="1"/>
  <c r="AM8" i="1"/>
  <c r="AM7" i="1"/>
  <c r="AL14" i="1" l="1"/>
  <c r="AL13" i="1"/>
  <c r="AL12" i="1"/>
  <c r="AL11" i="1"/>
  <c r="AL10" i="1"/>
  <c r="AL9" i="1"/>
  <c r="AL8" i="1"/>
  <c r="AL7" i="1"/>
  <c r="AL5" i="1"/>
  <c r="AC14" i="1"/>
  <c r="AB14" i="1"/>
  <c r="AA14" i="1"/>
  <c r="Z14" i="1"/>
  <c r="Y14" i="1"/>
  <c r="X14" i="1"/>
  <c r="W14" i="1"/>
  <c r="V14" i="1"/>
  <c r="AC13" i="1"/>
  <c r="AB13" i="1"/>
  <c r="AA13" i="1"/>
  <c r="Z13" i="1"/>
  <c r="Y13" i="1"/>
  <c r="X13" i="1"/>
  <c r="W13" i="1"/>
  <c r="V13" i="1"/>
  <c r="AC12" i="1"/>
  <c r="AB12" i="1"/>
  <c r="AA12" i="1"/>
  <c r="Z12" i="1"/>
  <c r="Y12" i="1"/>
  <c r="X12" i="1"/>
  <c r="AC11" i="1"/>
  <c r="AB11" i="1"/>
  <c r="AA11" i="1"/>
  <c r="Z11" i="1"/>
  <c r="Y11" i="1"/>
  <c r="X11" i="1"/>
  <c r="W11" i="1"/>
  <c r="V11" i="1"/>
  <c r="AC10" i="1"/>
  <c r="AB10" i="1"/>
  <c r="AA10" i="1"/>
  <c r="Z10" i="1"/>
  <c r="Y10" i="1"/>
  <c r="X10" i="1"/>
  <c r="W10" i="1"/>
  <c r="V10" i="1"/>
  <c r="AC9" i="1"/>
  <c r="AB9" i="1"/>
  <c r="AA9" i="1"/>
  <c r="Z9" i="1"/>
  <c r="Y9" i="1"/>
  <c r="X9" i="1"/>
  <c r="W9" i="1"/>
  <c r="V9" i="1"/>
  <c r="AC8" i="1"/>
  <c r="AB8" i="1"/>
  <c r="AA8" i="1"/>
  <c r="Z8" i="1"/>
  <c r="Y8" i="1"/>
  <c r="X8" i="1"/>
  <c r="W8" i="1"/>
  <c r="V8" i="1"/>
  <c r="AC7" i="1"/>
  <c r="AB7" i="1"/>
  <c r="AA7" i="1"/>
  <c r="Z7" i="1"/>
  <c r="Y7" i="1"/>
  <c r="X7" i="1"/>
  <c r="W7" i="1"/>
  <c r="V7" i="1"/>
  <c r="AC6" i="1"/>
  <c r="AB6" i="1"/>
  <c r="AA6" i="1"/>
  <c r="Z6" i="1"/>
  <c r="Y6" i="1"/>
  <c r="X6" i="1"/>
  <c r="W6" i="1"/>
  <c r="V6" i="1"/>
  <c r="W12" i="1"/>
  <c r="V12" i="1"/>
  <c r="AI5" i="1" a="1"/>
  <c r="AH5" i="1" a="1"/>
  <c r="AF5" i="1" a="1"/>
  <c r="AG5" i="1" a="1"/>
  <c r="AC5" i="1"/>
  <c r="AB5" i="1"/>
  <c r="AA5" i="1"/>
  <c r="Z5" i="1"/>
  <c r="Y5" i="1"/>
  <c r="X5" i="1"/>
  <c r="W5" i="1"/>
  <c r="V5" i="1"/>
  <c r="O3" i="1" a="1"/>
  <c r="O3" i="1" s="1"/>
  <c r="N3" i="1" a="1"/>
  <c r="N3" i="1" s="1"/>
  <c r="M3" i="1" a="1"/>
  <c r="M3" i="1" s="1"/>
  <c r="L3" i="1" a="1"/>
  <c r="L3" i="1" s="1"/>
  <c r="K3" i="1" a="1"/>
  <c r="K3" i="1" s="1"/>
  <c r="J3" i="1" a="1"/>
  <c r="J3" i="1" s="1"/>
  <c r="I3" i="1" a="1"/>
  <c r="I3" i="1" s="1"/>
  <c r="H3" i="1" a="1"/>
  <c r="H3" i="1" s="1"/>
  <c r="G3" i="1" a="1"/>
  <c r="G3" i="1" s="1"/>
  <c r="F3" i="1" a="1"/>
  <c r="F3" i="1" s="1"/>
  <c r="E3" i="1" a="1"/>
  <c r="E3" i="1" s="1"/>
  <c r="D3" i="1" a="1"/>
  <c r="D3" i="1" s="1"/>
  <c r="C3" i="1" a="1"/>
  <c r="C3" i="1" s="1"/>
  <c r="AH6" i="1" l="1"/>
  <c r="AF6" i="1"/>
  <c r="AG5" i="1"/>
  <c r="AG6" i="1"/>
  <c r="AI6" i="1"/>
  <c r="AF5" i="1"/>
  <c r="AH5" i="1"/>
  <c r="AI5" i="1"/>
  <c r="AH7" i="1" l="1"/>
  <c r="AF7" i="1"/>
  <c r="AG7" i="1"/>
  <c r="AI7" i="1"/>
</calcChain>
</file>

<file path=xl/sharedStrings.xml><?xml version="1.0" encoding="utf-8"?>
<sst xmlns="http://schemas.openxmlformats.org/spreadsheetml/2006/main" count="44" uniqueCount="21">
  <si>
    <t>board</t>
  </si>
  <si>
    <t>snake</t>
  </si>
  <si>
    <t>depth</t>
  </si>
  <si>
    <t>L</t>
  </si>
  <si>
    <t>R</t>
  </si>
  <si>
    <t>D</t>
  </si>
  <si>
    <t>U</t>
  </si>
  <si>
    <t>self-intersection</t>
  </si>
  <si>
    <t>crossing border</t>
  </si>
  <si>
    <t>invalid movement</t>
  </si>
  <si>
    <t/>
  </si>
  <si>
    <t>head</t>
  </si>
  <si>
    <t>body 1</t>
  </si>
  <si>
    <t>body 2</t>
  </si>
  <si>
    <t>body 3</t>
  </si>
  <si>
    <t>body 4</t>
  </si>
  <si>
    <t>body 5</t>
  </si>
  <si>
    <t>body 6</t>
  </si>
  <si>
    <t>body 7</t>
  </si>
  <si>
    <t>body 8</t>
  </si>
  <si>
    <t>body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</si>
</sst>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1">
    <cellStyle name="Normal" xfId="0" builtinId="0"/>
  </cellStyles>
  <dxfs count="7">
    <dxf>
      <font>
        <color theme="4" tint="-0.24994659260841701"/>
      </font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45720</xdr:colOff>
          <xdr:row>0</xdr:row>
          <xdr:rowOff>15240</xdr:rowOff>
        </xdr:from>
        <xdr:to>
          <xdr:col>24</xdr:col>
          <xdr:colOff>426720</xdr:colOff>
          <xdr:row>0</xdr:row>
          <xdr:rowOff>297180</xdr:rowOff>
        </xdr:to>
        <xdr:sp macro="" textlink="">
          <xdr:nvSpPr>
            <xdr:cNvPr id="1025" name="move_up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</xdr:colOff>
          <xdr:row>1</xdr:row>
          <xdr:rowOff>15240</xdr:rowOff>
        </xdr:from>
        <xdr:to>
          <xdr:col>25</xdr:col>
          <xdr:colOff>403860</xdr:colOff>
          <xdr:row>1</xdr:row>
          <xdr:rowOff>297180</xdr:rowOff>
        </xdr:to>
        <xdr:sp macro="" textlink="">
          <xdr:nvSpPr>
            <xdr:cNvPr id="1026" name="move_righ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1</xdr:row>
          <xdr:rowOff>15240</xdr:rowOff>
        </xdr:from>
        <xdr:to>
          <xdr:col>23</xdr:col>
          <xdr:colOff>411480</xdr:colOff>
          <xdr:row>1</xdr:row>
          <xdr:rowOff>297180</xdr:rowOff>
        </xdr:to>
        <xdr:sp macro="" textlink="">
          <xdr:nvSpPr>
            <xdr:cNvPr id="1027" name="move_lef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</xdr:row>
          <xdr:rowOff>15240</xdr:rowOff>
        </xdr:from>
        <xdr:to>
          <xdr:col>24</xdr:col>
          <xdr:colOff>419100</xdr:colOff>
          <xdr:row>1</xdr:row>
          <xdr:rowOff>297180</xdr:rowOff>
        </xdr:to>
        <xdr:sp macro="" textlink="">
          <xdr:nvSpPr>
            <xdr:cNvPr id="1028" name="move_dow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N16"/>
  <sheetViews>
    <sheetView tabSelected="1" workbookViewId="0"/>
  </sheetViews>
  <sheetFormatPr baseColWidth="10" defaultColWidth="13.33203125" defaultRowHeight="14.4" x14ac:dyDescent="0.3"/>
  <cols>
    <col min="1" max="16" width="4.44140625" style="1" customWidth="1"/>
    <col min="17" max="17" width="2.109375" style="1" customWidth="1"/>
    <col min="18" max="19" width="6.33203125" style="1" customWidth="1"/>
    <col min="20" max="20" width="2.109375" style="1" customWidth="1"/>
    <col min="21" max="21" width="5.6640625" style="1" bestFit="1" customWidth="1"/>
    <col min="22" max="29" width="6.33203125" style="1" customWidth="1"/>
    <col min="30" max="30" width="4.5546875" style="1" customWidth="1"/>
    <col min="31" max="31" width="15.44140625" style="1" bestFit="1" customWidth="1"/>
    <col min="32" max="35" width="13.33203125" style="1"/>
    <col min="36" max="36" width="4.21875" style="1" customWidth="1"/>
    <col min="37" max="38" width="11.21875" style="1" bestFit="1" customWidth="1"/>
    <col min="39" max="16384" width="13.33203125" style="1"/>
  </cols>
  <sheetData>
    <row r="1" spans="2:40" ht="24" customHeight="1" thickBot="1" x14ac:dyDescent="0.35">
      <c r="R1" s="1" t="s">
        <v>0</v>
      </c>
      <c r="U1" s="1" t="s">
        <v>2</v>
      </c>
    </row>
    <row r="2" spans="2:40" ht="24" customHeight="1" thickBot="1" x14ac:dyDescent="0.35"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R2" s="14">
        <v>10</v>
      </c>
      <c r="S2" s="15">
        <v>10</v>
      </c>
      <c r="U2" s="17">
        <v>3</v>
      </c>
      <c r="AE2" s="1">
        <f>10^9+7</f>
        <v>1000000007</v>
      </c>
    </row>
    <row r="3" spans="2:40" ht="24" customHeight="1" thickBot="1" x14ac:dyDescent="0.35">
      <c r="B3" s="1">
        <v>0</v>
      </c>
      <c r="C3" s="16" t="str">
        <f t="array" ref="C3">IF(NOT(ISERROR(MATCH($B3&amp;","&amp;C$2,$R$5:$R$14&amp;","&amp;$S$5:$S$14,0))),"X","")</f>
        <v/>
      </c>
      <c r="D3" s="5" t="str">
        <f t="array" ref="D3">IF(NOT(ISERROR(MATCH($B3&amp;","&amp;D$2,$R$5:$R$14&amp;","&amp;$S$5:$S$14,0))),"X","")</f>
        <v/>
      </c>
      <c r="E3" s="5" t="str">
        <f t="array" ref="E3">IF(NOT(ISERROR(MATCH($B3&amp;","&amp;E$2,$R$5:$R$14&amp;","&amp;$S$5:$S$14,0))),"X","")</f>
        <v/>
      </c>
      <c r="F3" s="5" t="str">
        <f t="array" ref="F3">IF(NOT(ISERROR(MATCH($B3&amp;","&amp;F$2,$R$5:$R$14&amp;","&amp;$S$5:$S$14,0))),"X","")</f>
        <v/>
      </c>
      <c r="G3" s="5" t="str">
        <f t="array" ref="G3">IF(NOT(ISERROR(MATCH($B3&amp;","&amp;G$2,$R$5:$R$14&amp;","&amp;$S$5:$S$14,0))),"X","")</f>
        <v/>
      </c>
      <c r="H3" s="5" t="str">
        <f t="array" ref="H3">IF(NOT(ISERROR(MATCH($B3&amp;","&amp;H$2,$R$5:$R$14&amp;","&amp;$S$5:$S$14,0))),"X","")</f>
        <v/>
      </c>
      <c r="I3" s="5" t="str">
        <f t="array" ref="I3">IF(NOT(ISERROR(MATCH($B3&amp;","&amp;I$2,$R$5:$R$14&amp;","&amp;$S$5:$S$14,0))),"X","")</f>
        <v/>
      </c>
      <c r="J3" s="5" t="str">
        <f t="array" ref="J3">IF(NOT(ISERROR(MATCH($B3&amp;","&amp;J$2,$R$5:$R$14&amp;","&amp;$S$5:$S$14,0))),"X","")</f>
        <v/>
      </c>
      <c r="K3" s="5" t="str">
        <f t="array" ref="K3">IF(NOT(ISERROR(MATCH($B3&amp;","&amp;K$2,$R$5:$R$14&amp;","&amp;$S$5:$S$14,0))),"X","")</f>
        <v/>
      </c>
      <c r="L3" s="5" t="str">
        <f t="array" ref="L3">IF(NOT(ISERROR(MATCH($B3&amp;","&amp;L$2,$R$5:$R$14&amp;","&amp;$S$5:$S$14,0))),"X","")</f>
        <v/>
      </c>
      <c r="M3" s="5" t="str">
        <f t="array" ref="M3">IF(NOT(ISERROR(MATCH($B3&amp;","&amp;M$2,$R$5:$R$14&amp;","&amp;$S$5:$S$14,0))),"X","")</f>
        <v/>
      </c>
      <c r="N3" s="5" t="str">
        <f t="array" ref="N3">IF(NOT(ISERROR(MATCH($B3&amp;","&amp;N$2,$R$5:$R$14&amp;","&amp;$S$5:$S$14,0))),"X","")</f>
        <v/>
      </c>
      <c r="O3" s="6" t="str">
        <f t="array" ref="O3">IF(NOT(ISERROR(MATCH($B3&amp;","&amp;O$2,$R$5:$R$14&amp;","&amp;$S$5:$S$14,0))),"X","")</f>
        <v/>
      </c>
    </row>
    <row r="4" spans="2:40" ht="24" customHeight="1" thickBot="1" x14ac:dyDescent="0.35">
      <c r="B4" s="1">
        <v>1</v>
      </c>
      <c r="C4" s="10" t="str">
        <f t="array" ref="C4">IF(NOT(ISERROR(MATCH($B4&amp;","&amp;C$2,$R$5:$R$14&amp;","&amp;$S$5:$S$14,0))),"X","")</f>
        <v/>
      </c>
      <c r="D4" s="8" t="str">
        <f t="array" ref="D4">IF(NOT(ISERROR(MATCH($B4&amp;","&amp;D$2,$R$5:$R$14&amp;","&amp;$S$5:$S$14,0))),"X","")</f>
        <v/>
      </c>
      <c r="E4" s="8" t="str">
        <f t="array" ref="E4">IF(NOT(ISERROR(MATCH($B4&amp;","&amp;E$2,$R$5:$R$14&amp;","&amp;$S$5:$S$14,0))),"X","")</f>
        <v/>
      </c>
      <c r="F4" s="8" t="str">
        <f t="array" ref="F4">IF(NOT(ISERROR(MATCH($B4&amp;","&amp;F$2,$R$5:$R$14&amp;","&amp;$S$5:$S$14,0))),"X","")</f>
        <v/>
      </c>
      <c r="G4" s="8" t="str">
        <f t="array" ref="G4">IF(NOT(ISERROR(MATCH($B4&amp;","&amp;G$2,$R$5:$R$14&amp;","&amp;$S$5:$S$14,0))),"X","")</f>
        <v/>
      </c>
      <c r="H4" s="8" t="str">
        <f t="array" ref="H4">IF(NOT(ISERROR(MATCH($B4&amp;","&amp;H$2,$R$5:$R$14&amp;","&amp;$S$5:$S$14,0))),"X","")</f>
        <v/>
      </c>
      <c r="I4" s="8" t="str">
        <f t="array" ref="I4">IF(NOT(ISERROR(MATCH($B4&amp;","&amp;I$2,$R$5:$R$14&amp;","&amp;$S$5:$S$14,0))),"X","")</f>
        <v/>
      </c>
      <c r="J4" s="8" t="str">
        <f t="array" ref="J4">IF(NOT(ISERROR(MATCH($B4&amp;","&amp;J$2,$R$5:$R$14&amp;","&amp;$S$5:$S$14,0))),"X","")</f>
        <v/>
      </c>
      <c r="K4" s="8" t="str">
        <f t="array" ref="K4">IF(NOT(ISERROR(MATCH($B4&amp;","&amp;K$2,$R$5:$R$14&amp;","&amp;$S$5:$S$14,0))),"X","")</f>
        <v/>
      </c>
      <c r="L4" s="8" t="str">
        <f t="array" ref="L4">IF(NOT(ISERROR(MATCH($B4&amp;","&amp;L$2,$R$5:$R$14&amp;","&amp;$S$5:$S$14,0))),"X","")</f>
        <v/>
      </c>
      <c r="M4" s="8" t="str">
        <f t="array" ref="M4">IF(NOT(ISERROR(MATCH($B4&amp;","&amp;M$2,$R$5:$R$14&amp;","&amp;$S$5:$S$14,0))),"X","")</f>
        <v/>
      </c>
      <c r="N4" s="8" t="str">
        <f t="array" ref="N4">IF(NOT(ISERROR(MATCH($B4&amp;","&amp;N$2,$R$5:$R$14&amp;","&amp;$S$5:$S$14,0))),"X","")</f>
        <v/>
      </c>
      <c r="O4" s="9" t="str">
        <f t="array" ref="O4">IF(NOT(ISERROR(MATCH($B4&amp;","&amp;O$2,$R$5:$R$14&amp;","&amp;$S$5:$S$14,0))),"X","")</f>
        <v/>
      </c>
      <c r="R4" s="1" t="s">
        <v>1</v>
      </c>
      <c r="V4" s="1" t="s">
        <v>3</v>
      </c>
      <c r="X4" s="1" t="s">
        <v>4</v>
      </c>
      <c r="Z4" s="1" t="s">
        <v>5</v>
      </c>
      <c r="AB4" s="1" t="s">
        <v>6</v>
      </c>
      <c r="AF4" s="21" t="s">
        <v>3</v>
      </c>
      <c r="AG4" s="22" t="s">
        <v>4</v>
      </c>
      <c r="AH4" s="22" t="s">
        <v>5</v>
      </c>
      <c r="AI4" s="23" t="s">
        <v>6</v>
      </c>
    </row>
    <row r="5" spans="2:40" ht="24" customHeight="1" x14ac:dyDescent="0.3">
      <c r="B5" s="1">
        <v>2</v>
      </c>
      <c r="C5" s="10" t="str">
        <f t="array" ref="C5">IF(NOT(ISERROR(MATCH($B5&amp;","&amp;C$2,$R$5:$R$14&amp;","&amp;$S$5:$S$14,0))),"X","")</f>
        <v/>
      </c>
      <c r="D5" s="8" t="str">
        <f t="array" ref="D5">IF(NOT(ISERROR(MATCH($B5&amp;","&amp;D$2,$R$5:$R$14&amp;","&amp;$S$5:$S$14,0))),"X","")</f>
        <v/>
      </c>
      <c r="E5" s="8" t="str">
        <f t="array" ref="E5">IF(NOT(ISERROR(MATCH($B5&amp;","&amp;E$2,$R$5:$R$14&amp;","&amp;$S$5:$S$14,0))),"X","")</f>
        <v/>
      </c>
      <c r="F5" s="8" t="str">
        <f t="array" ref="F5">IF(NOT(ISERROR(MATCH($B5&amp;","&amp;F$2,$R$5:$R$14&amp;","&amp;$S$5:$S$14,0))),"X","")</f>
        <v/>
      </c>
      <c r="G5" s="8" t="str">
        <f t="array" ref="G5">IF(NOT(ISERROR(MATCH($B5&amp;","&amp;G$2,$R$5:$R$14&amp;","&amp;$S$5:$S$14,0))),"X","")</f>
        <v/>
      </c>
      <c r="H5" s="8" t="str">
        <f t="array" ref="H5">IF(NOT(ISERROR(MATCH($B5&amp;","&amp;H$2,$R$5:$R$14&amp;","&amp;$S$5:$S$14,0))),"X","")</f>
        <v/>
      </c>
      <c r="I5" s="8" t="str">
        <f t="array" ref="I5">IF(NOT(ISERROR(MATCH($B5&amp;","&amp;I$2,$R$5:$R$14&amp;","&amp;$S$5:$S$14,0))),"X","")</f>
        <v/>
      </c>
      <c r="J5" s="8" t="str">
        <f t="array" ref="J5">IF(NOT(ISERROR(MATCH($B5&amp;","&amp;J$2,$R$5:$R$14&amp;","&amp;$S$5:$S$14,0))),"X","")</f>
        <v/>
      </c>
      <c r="K5" s="8" t="str">
        <f t="array" ref="K5">IF(NOT(ISERROR(MATCH($B5&amp;","&amp;K$2,$R$5:$R$14&amp;","&amp;$S$5:$S$14,0))),"X","")</f>
        <v/>
      </c>
      <c r="L5" s="8" t="str">
        <f t="array" ref="L5">IF(NOT(ISERROR(MATCH($B5&amp;","&amp;L$2,$R$5:$R$14&amp;","&amp;$S$5:$S$14,0))),"X","")</f>
        <v/>
      </c>
      <c r="M5" s="8" t="str">
        <f t="array" ref="M5">IF(NOT(ISERROR(MATCH($B5&amp;","&amp;M$2,$R$5:$R$14&amp;","&amp;$S$5:$S$14,0))),"X","")</f>
        <v/>
      </c>
      <c r="N5" s="8" t="str">
        <f t="array" ref="N5">IF(NOT(ISERROR(MATCH($B5&amp;","&amp;N$2,$R$5:$R$14&amp;","&amp;$S$5:$S$14,0))),"X","")</f>
        <v/>
      </c>
      <c r="O5" s="9" t="str">
        <f t="array" ref="O5">IF(NOT(ISERROR(MATCH($B5&amp;","&amp;O$2,$R$5:$R$14&amp;","&amp;$S$5:$S$14,0))),"X","")</f>
        <v/>
      </c>
      <c r="P5" s="1">
        <v>1</v>
      </c>
      <c r="Q5" s="1">
        <v>1</v>
      </c>
      <c r="R5" s="16">
        <v>4</v>
      </c>
      <c r="S5" s="6">
        <v>2</v>
      </c>
      <c r="T5" s="1" t="str">
        <f>"["&amp;R5&amp;", "&amp;S5&amp;"]"</f>
        <v>[4, 2]</v>
      </c>
      <c r="V5" s="16">
        <f>R5</f>
        <v>4</v>
      </c>
      <c r="W5" s="6">
        <f>S5-1</f>
        <v>1</v>
      </c>
      <c r="X5" s="16">
        <f>R5</f>
        <v>4</v>
      </c>
      <c r="Y5" s="6">
        <f>S5+1</f>
        <v>3</v>
      </c>
      <c r="Z5" s="16">
        <f>R5+1</f>
        <v>5</v>
      </c>
      <c r="AA5" s="6">
        <f>S5</f>
        <v>2</v>
      </c>
      <c r="AB5" s="16">
        <f>R5-1</f>
        <v>3</v>
      </c>
      <c r="AC5" s="6">
        <f>S5</f>
        <v>2</v>
      </c>
      <c r="AE5" s="18" t="s">
        <v>7</v>
      </c>
      <c r="AF5" s="3" t="b">
        <f t="array" ref="AF5">NOT(ISERROR(MATCH(V$5&amp;","&amp;W$5,V$6:V$14&amp;","&amp;W$6:W$14,0)))</f>
        <v>0</v>
      </c>
      <c r="AG5" s="4" t="b">
        <f t="array" ref="AG5">NOT(ISERROR(MATCH(X$5&amp;","&amp;Y$5,X$6:X$14&amp;","&amp;Y$6:Y$14,0)))</f>
        <v>1</v>
      </c>
      <c r="AH5" s="4" t="b">
        <f t="array" ref="AH5">NOT(ISERROR(MATCH(Z$5&amp;","&amp;AA$5,Z$6:Z$14&amp;","&amp;AA$6:AA$14,0)))</f>
        <v>0</v>
      </c>
      <c r="AI5" s="24" t="b">
        <f t="array" ref="AI5">NOT(ISERROR(MATCH(AB$5&amp;","&amp;AC$5,AB$6:AB$14&amp;","&amp;AC$6:AC$14,0)))</f>
        <v>0</v>
      </c>
      <c r="AK5" s="16" t="s">
        <v>11</v>
      </c>
      <c r="AL5" s="6" t="b">
        <f>NOT(OR(AND(R5&lt;R$2,R5&gt;=0,S5&lt;S$2,S5&gt;=0),AND(R5="",S5="")))</f>
        <v>0</v>
      </c>
    </row>
    <row r="6" spans="2:40" ht="24" customHeight="1" x14ac:dyDescent="0.3">
      <c r="B6" s="1">
        <v>3</v>
      </c>
      <c r="C6" s="10" t="str">
        <f t="array" ref="C6">IF(NOT(ISERROR(MATCH($B6&amp;","&amp;C$2,$R$5:$R$14&amp;","&amp;$S$5:$S$14,0))),"X","")</f>
        <v/>
      </c>
      <c r="D6" s="8" t="str">
        <f t="array" ref="D6">IF(NOT(ISERROR(MATCH($B6&amp;","&amp;D$2,$R$5:$R$14&amp;","&amp;$S$5:$S$14,0))),"X","")</f>
        <v/>
      </c>
      <c r="E6" s="8" t="str">
        <f t="array" ref="E6">IF(NOT(ISERROR(MATCH($B6&amp;","&amp;E$2,$R$5:$R$14&amp;","&amp;$S$5:$S$14,0))),"X","")</f>
        <v/>
      </c>
      <c r="F6" s="8" t="str">
        <f t="array" ref="F6">IF(NOT(ISERROR(MATCH($B6&amp;","&amp;F$2,$R$5:$R$14&amp;","&amp;$S$5:$S$14,0))),"X","")</f>
        <v>X</v>
      </c>
      <c r="G6" s="8" t="str">
        <f t="array" ref="G6">IF(NOT(ISERROR(MATCH($B6&amp;","&amp;G$2,$R$5:$R$14&amp;","&amp;$S$5:$S$14,0))),"X","")</f>
        <v/>
      </c>
      <c r="H6" s="8" t="str">
        <f t="array" ref="H6">IF(NOT(ISERROR(MATCH($B6&amp;","&amp;H$2,$R$5:$R$14&amp;","&amp;$S$5:$S$14,0))),"X","")</f>
        <v/>
      </c>
      <c r="I6" s="8" t="str">
        <f t="array" ref="I6">IF(NOT(ISERROR(MATCH($B6&amp;","&amp;I$2,$R$5:$R$14&amp;","&amp;$S$5:$S$14,0))),"X","")</f>
        <v/>
      </c>
      <c r="J6" s="8" t="str">
        <f t="array" ref="J6">IF(NOT(ISERROR(MATCH($B6&amp;","&amp;J$2,$R$5:$R$14&amp;","&amp;$S$5:$S$14,0))),"X","")</f>
        <v/>
      </c>
      <c r="K6" s="8" t="str">
        <f t="array" ref="K6">IF(NOT(ISERROR(MATCH($B6&amp;","&amp;K$2,$R$5:$R$14&amp;","&amp;$S$5:$S$14,0))),"X","")</f>
        <v/>
      </c>
      <c r="L6" s="8" t="str">
        <f t="array" ref="L6">IF(NOT(ISERROR(MATCH($B6&amp;","&amp;L$2,$R$5:$R$14&amp;","&amp;$S$5:$S$14,0))),"X","")</f>
        <v/>
      </c>
      <c r="M6" s="8" t="str">
        <f t="array" ref="M6">IF(NOT(ISERROR(MATCH($B6&amp;","&amp;M$2,$R$5:$R$14&amp;","&amp;$S$5:$S$14,0))),"X","")</f>
        <v/>
      </c>
      <c r="N6" s="8" t="str">
        <f t="array" ref="N6">IF(NOT(ISERROR(MATCH($B6&amp;","&amp;N$2,$R$5:$R$14&amp;","&amp;$S$5:$S$14,0))),"X","")</f>
        <v/>
      </c>
      <c r="O6" s="9" t="str">
        <f t="array" ref="O6">IF(NOT(ISERROR(MATCH($B6&amp;","&amp;O$2,$R$5:$R$14&amp;","&amp;$S$5:$S$14,0))),"X","")</f>
        <v/>
      </c>
      <c r="P6" s="1">
        <v>1</v>
      </c>
      <c r="Q6" s="1">
        <v>2</v>
      </c>
      <c r="R6" s="10">
        <v>4</v>
      </c>
      <c r="S6" s="9">
        <v>3</v>
      </c>
      <c r="T6" s="1" t="str">
        <f>T5&amp;", "&amp;"["&amp;R6&amp;", "&amp;S6&amp;"]"</f>
        <v>[4, 2], [4, 3]</v>
      </c>
      <c r="V6" s="10">
        <f t="shared" ref="V6:V11" si="0">IF($R6="","",$R5)</f>
        <v>4</v>
      </c>
      <c r="W6" s="9">
        <f t="shared" ref="W6:W11" si="1">IF($S6="","",$S5)</f>
        <v>2</v>
      </c>
      <c r="X6" s="10">
        <f t="shared" ref="X6:X14" si="2">IF($R6="","",$R5)</f>
        <v>4</v>
      </c>
      <c r="Y6" s="9">
        <f t="shared" ref="Y6:Y14" si="3">IF($S6="","",$S5)</f>
        <v>2</v>
      </c>
      <c r="Z6" s="10">
        <f t="shared" ref="Z6:Z14" si="4">IF($R6="","",$R5)</f>
        <v>4</v>
      </c>
      <c r="AA6" s="9">
        <f t="shared" ref="AA6:AA14" si="5">IF($S6="","",$S5)</f>
        <v>2</v>
      </c>
      <c r="AB6" s="10">
        <f t="shared" ref="AB6:AB14" si="6">IF($R6="","",$R5)</f>
        <v>4</v>
      </c>
      <c r="AC6" s="9">
        <f t="shared" ref="AC6:AC14" si="7">IF($S6="","",$S5)</f>
        <v>2</v>
      </c>
      <c r="AE6" s="19" t="s">
        <v>8</v>
      </c>
      <c r="AF6" s="7" t="b">
        <f>NOT(AND(V5&lt;$R$2,V5&gt;=0,W5&lt;$S$2,W5&gt;=0))</f>
        <v>0</v>
      </c>
      <c r="AG6" s="2" t="b">
        <f>NOT(AND(X5&lt;$R$2,X5&gt;=0,Y5&lt;$S$2,Y5&gt;=0))</f>
        <v>0</v>
      </c>
      <c r="AH6" s="2" t="b">
        <f>NOT(AND(Z5&lt;$R$2,Z5&gt;=0,AA5&lt;$S$2,AA5&gt;=0))</f>
        <v>0</v>
      </c>
      <c r="AI6" s="25" t="b">
        <f>NOT(AND(AB5&lt;$R$2,AB5&gt;=0,AC5&lt;$S$2,AC5&gt;=0))</f>
        <v>0</v>
      </c>
      <c r="AK6" s="10" t="s">
        <v>12</v>
      </c>
      <c r="AL6" s="9" t="b">
        <f>NOT(AND(OR(AND(R6&lt;R$2,R6&gt;=0,S6&lt;S$2,S6&gt;=0),AND(R6="",S6="")),IF(AND(R6="",S6=""),TRUE,OR(AND(R6=R5,ABS(S6-S5)=1),AND(S6=S5,ABS(R6-R5)=1)))))</f>
        <v>0</v>
      </c>
      <c r="AM6" s="1" t="b">
        <f>IF(AND(R6="",S6=""),TRUE,OR(AND(R6=R5,ABS(S6-S5)=1),AND(S6=S5,ABS(R6-R5)=1)))</f>
        <v>1</v>
      </c>
      <c r="AN6" s="1" t="b">
        <f>OR(AND(R6=R5,ABS(S6-S5)=1),AND(S6=S5,ABS(R6-R5)=1))</f>
        <v>1</v>
      </c>
    </row>
    <row r="7" spans="2:40" ht="24" customHeight="1" thickBot="1" x14ac:dyDescent="0.35">
      <c r="B7" s="1">
        <v>4</v>
      </c>
      <c r="C7" s="10" t="str">
        <f t="array" ref="C7">IF(NOT(ISERROR(MATCH($B7&amp;","&amp;C$2,$R$5:$R$14&amp;","&amp;$S$5:$S$14,0))),"X","")</f>
        <v/>
      </c>
      <c r="D7" s="8" t="str">
        <f t="array" ref="D7">IF(NOT(ISERROR(MATCH($B7&amp;","&amp;D$2,$R$5:$R$14&amp;","&amp;$S$5:$S$14,0))),"X","")</f>
        <v/>
      </c>
      <c r="E7" s="8" t="str">
        <f t="array" ref="E7">IF(NOT(ISERROR(MATCH($B7&amp;","&amp;E$2,$R$5:$R$14&amp;","&amp;$S$5:$S$14,0))),"X","")</f>
        <v>X</v>
      </c>
      <c r="F7" s="8" t="str">
        <f t="array" ref="F7">IF(NOT(ISERROR(MATCH($B7&amp;","&amp;F$2,$R$5:$R$14&amp;","&amp;$S$5:$S$14,0))),"X","")</f>
        <v>X</v>
      </c>
      <c r="G7" s="8" t="str">
        <f t="array" ref="G7">IF(NOT(ISERROR(MATCH($B7&amp;","&amp;G$2,$R$5:$R$14&amp;","&amp;$S$5:$S$14,0))),"X","")</f>
        <v/>
      </c>
      <c r="H7" s="8" t="str">
        <f t="array" ref="H7">IF(NOT(ISERROR(MATCH($B7&amp;","&amp;H$2,$R$5:$R$14&amp;","&amp;$S$5:$S$14,0))),"X","")</f>
        <v/>
      </c>
      <c r="I7" s="8" t="str">
        <f t="array" ref="I7">IF(NOT(ISERROR(MATCH($B7&amp;","&amp;I$2,$R$5:$R$14&amp;","&amp;$S$5:$S$14,0))),"X","")</f>
        <v/>
      </c>
      <c r="J7" s="8" t="str">
        <f t="array" ref="J7">IF(NOT(ISERROR(MATCH($B7&amp;","&amp;J$2,$R$5:$R$14&amp;","&amp;$S$5:$S$14,0))),"X","")</f>
        <v/>
      </c>
      <c r="K7" s="8" t="str">
        <f t="array" ref="K7">IF(NOT(ISERROR(MATCH($B7&amp;","&amp;K$2,$R$5:$R$14&amp;","&amp;$S$5:$S$14,0))),"X","")</f>
        <v/>
      </c>
      <c r="L7" s="8" t="str">
        <f t="array" ref="L7">IF(NOT(ISERROR(MATCH($B7&amp;","&amp;L$2,$R$5:$R$14&amp;","&amp;$S$5:$S$14,0))),"X","")</f>
        <v/>
      </c>
      <c r="M7" s="8" t="str">
        <f t="array" ref="M7">IF(NOT(ISERROR(MATCH($B7&amp;","&amp;M$2,$R$5:$R$14&amp;","&amp;$S$5:$S$14,0))),"X","")</f>
        <v/>
      </c>
      <c r="N7" s="8" t="str">
        <f t="array" ref="N7">IF(NOT(ISERROR(MATCH($B7&amp;","&amp;N$2,$R$5:$R$14&amp;","&amp;$S$5:$S$14,0))),"X","")</f>
        <v/>
      </c>
      <c r="O7" s="9" t="str">
        <f t="array" ref="O7">IF(NOT(ISERROR(MATCH($B7&amp;","&amp;O$2,$R$5:$R$14&amp;","&amp;$S$5:$S$14,0))),"X","")</f>
        <v/>
      </c>
      <c r="P7" s="1">
        <v>2</v>
      </c>
      <c r="Q7" s="1">
        <v>2</v>
      </c>
      <c r="R7" s="10">
        <v>3</v>
      </c>
      <c r="S7" s="9">
        <v>3</v>
      </c>
      <c r="T7" s="1" t="str">
        <f t="shared" ref="T7:T13" si="8">T6&amp;", "&amp;"["&amp;R7&amp;", "&amp;S7&amp;"]"</f>
        <v>[4, 2], [4, 3], [3, 3]</v>
      </c>
      <c r="V7" s="10">
        <f t="shared" si="0"/>
        <v>4</v>
      </c>
      <c r="W7" s="9">
        <f t="shared" si="1"/>
        <v>3</v>
      </c>
      <c r="X7" s="10">
        <f t="shared" si="2"/>
        <v>4</v>
      </c>
      <c r="Y7" s="9">
        <f t="shared" si="3"/>
        <v>3</v>
      </c>
      <c r="Z7" s="10">
        <f t="shared" si="4"/>
        <v>4</v>
      </c>
      <c r="AA7" s="9">
        <f t="shared" si="5"/>
        <v>3</v>
      </c>
      <c r="AB7" s="10">
        <f t="shared" si="6"/>
        <v>4</v>
      </c>
      <c r="AC7" s="9">
        <f t="shared" si="7"/>
        <v>3</v>
      </c>
      <c r="AE7" s="20" t="s">
        <v>9</v>
      </c>
      <c r="AF7" s="26" t="b">
        <f>OR(AF5,AF6)</f>
        <v>0</v>
      </c>
      <c r="AG7" s="27" t="b">
        <f>OR(AG5,AG6)</f>
        <v>1</v>
      </c>
      <c r="AH7" s="27" t="b">
        <f>OR(AH5,AH6)</f>
        <v>0</v>
      </c>
      <c r="AI7" s="28" t="b">
        <f>OR(AI5,AI6)</f>
        <v>0</v>
      </c>
      <c r="AK7" s="10" t="s">
        <v>13</v>
      </c>
      <c r="AL7" s="9" t="b">
        <f t="shared" ref="AL7:AL14" si="9">NOT(AND(OR(AND(R7&lt;R$2,R7&gt;=0,S7&lt;S$2,S7&gt;=0),AND(R7="",S7="")),IF(AND(R7="",S7=""),TRUE,OR(AND(R7=R6,ABS(S7-S6)=1),AND(S7=S6,ABS(R7-R6)=1)))))</f>
        <v>0</v>
      </c>
      <c r="AM7" s="1" t="b">
        <f t="shared" ref="AM7:AM14" si="10">IF(AND(R7="",S7=""),TRUE,OR(AND(R7=R6,ABS(S7-S6)=1),AND(S7=S6,ABS(R7-R6)=1)))</f>
        <v>1</v>
      </c>
      <c r="AN7" s="1" t="b">
        <f t="shared" ref="AN7:AN14" si="11">OR(AND(R7=R6,ABS(S7-S6)=1),AND(S7=S6,ABS(R7-R6)=1))</f>
        <v>1</v>
      </c>
    </row>
    <row r="8" spans="2:40" ht="24" customHeight="1" x14ac:dyDescent="0.3">
      <c r="B8" s="1">
        <v>5</v>
      </c>
      <c r="C8" s="10" t="str">
        <f t="array" ref="C8">IF(NOT(ISERROR(MATCH($B8&amp;","&amp;C$2,$R$5:$R$14&amp;","&amp;$S$5:$S$14,0))),"X","")</f>
        <v/>
      </c>
      <c r="D8" s="8" t="str">
        <f t="array" ref="D8">IF(NOT(ISERROR(MATCH($B8&amp;","&amp;D$2,$R$5:$R$14&amp;","&amp;$S$5:$S$14,0))),"X","")</f>
        <v/>
      </c>
      <c r="E8" s="8" t="str">
        <f t="array" ref="E8">IF(NOT(ISERROR(MATCH($B8&amp;","&amp;E$2,$R$5:$R$14&amp;","&amp;$S$5:$S$14,0))),"X","")</f>
        <v/>
      </c>
      <c r="F8" s="8" t="str">
        <f t="array" ref="F8">IF(NOT(ISERROR(MATCH($B8&amp;","&amp;F$2,$R$5:$R$14&amp;","&amp;$S$5:$S$14,0))),"X","")</f>
        <v/>
      </c>
      <c r="G8" s="8" t="str">
        <f t="array" ref="G8">IF(NOT(ISERROR(MATCH($B8&amp;","&amp;G$2,$R$5:$R$14&amp;","&amp;$S$5:$S$14,0))),"X","")</f>
        <v/>
      </c>
      <c r="H8" s="8" t="str">
        <f t="array" ref="H8">IF(NOT(ISERROR(MATCH($B8&amp;","&amp;H$2,$R$5:$R$14&amp;","&amp;$S$5:$S$14,0))),"X","")</f>
        <v/>
      </c>
      <c r="I8" s="8" t="str">
        <f t="array" ref="I8">IF(NOT(ISERROR(MATCH($B8&amp;","&amp;I$2,$R$5:$R$14&amp;","&amp;$S$5:$S$14,0))),"X","")</f>
        <v/>
      </c>
      <c r="J8" s="8" t="str">
        <f t="array" ref="J8">IF(NOT(ISERROR(MATCH($B8&amp;","&amp;J$2,$R$5:$R$14&amp;","&amp;$S$5:$S$14,0))),"X","")</f>
        <v/>
      </c>
      <c r="K8" s="8" t="str">
        <f t="array" ref="K8">IF(NOT(ISERROR(MATCH($B8&amp;","&amp;K$2,$R$5:$R$14&amp;","&amp;$S$5:$S$14,0))),"X","")</f>
        <v/>
      </c>
      <c r="L8" s="8" t="str">
        <f t="array" ref="L8">IF(NOT(ISERROR(MATCH($B8&amp;","&amp;L$2,$R$5:$R$14&amp;","&amp;$S$5:$S$14,0))),"X","")</f>
        <v/>
      </c>
      <c r="M8" s="8" t="str">
        <f t="array" ref="M8">IF(NOT(ISERROR(MATCH($B8&amp;","&amp;M$2,$R$5:$R$14&amp;","&amp;$S$5:$S$14,0))),"X","")</f>
        <v/>
      </c>
      <c r="N8" s="8" t="str">
        <f t="array" ref="N8">IF(NOT(ISERROR(MATCH($B8&amp;","&amp;N$2,$R$5:$R$14&amp;","&amp;$S$5:$S$14,0))),"X","")</f>
        <v/>
      </c>
      <c r="O8" s="9" t="str">
        <f t="array" ref="O8">IF(NOT(ISERROR(MATCH($B8&amp;","&amp;O$2,$R$5:$R$14&amp;","&amp;$S$5:$S$14,0))),"X","")</f>
        <v/>
      </c>
      <c r="P8" s="1">
        <v>2</v>
      </c>
      <c r="Q8" s="1">
        <v>3</v>
      </c>
      <c r="R8" s="10" t="s">
        <v>10</v>
      </c>
      <c r="S8" s="9" t="s">
        <v>10</v>
      </c>
      <c r="T8" s="1" t="str">
        <f t="shared" si="8"/>
        <v>[4, 2], [4, 3], [3, 3], [, ]</v>
      </c>
      <c r="V8" s="10" t="str">
        <f t="shared" si="0"/>
        <v/>
      </c>
      <c r="W8" s="9" t="str">
        <f t="shared" si="1"/>
        <v/>
      </c>
      <c r="X8" s="10" t="str">
        <f t="shared" si="2"/>
        <v/>
      </c>
      <c r="Y8" s="9" t="str">
        <f t="shared" si="3"/>
        <v/>
      </c>
      <c r="Z8" s="10" t="str">
        <f t="shared" si="4"/>
        <v/>
      </c>
      <c r="AA8" s="9" t="str">
        <f t="shared" si="5"/>
        <v/>
      </c>
      <c r="AB8" s="10" t="str">
        <f t="shared" si="6"/>
        <v/>
      </c>
      <c r="AC8" s="9" t="str">
        <f t="shared" si="7"/>
        <v/>
      </c>
      <c r="AK8" s="10" t="s">
        <v>14</v>
      </c>
      <c r="AL8" s="9" t="b">
        <f t="shared" si="9"/>
        <v>0</v>
      </c>
      <c r="AM8" s="1" t="b">
        <f t="shared" si="10"/>
        <v>1</v>
      </c>
      <c r="AN8" s="1" t="e">
        <f t="shared" si="11"/>
        <v>#VALUE!</v>
      </c>
    </row>
    <row r="9" spans="2:40" ht="24" customHeight="1" x14ac:dyDescent="0.3">
      <c r="B9" s="1">
        <v>6</v>
      </c>
      <c r="C9" s="10" t="str">
        <f t="array" ref="C9">IF(NOT(ISERROR(MATCH($B9&amp;","&amp;C$2,$R$5:$R$14&amp;","&amp;$S$5:$S$14,0))),"X","")</f>
        <v/>
      </c>
      <c r="D9" s="8" t="str">
        <f t="array" ref="D9">IF(NOT(ISERROR(MATCH($B9&amp;","&amp;D$2,$R$5:$R$14&amp;","&amp;$S$5:$S$14,0))),"X","")</f>
        <v/>
      </c>
      <c r="E9" s="8" t="str">
        <f t="array" ref="E9">IF(NOT(ISERROR(MATCH($B9&amp;","&amp;E$2,$R$5:$R$14&amp;","&amp;$S$5:$S$14,0))),"X","")</f>
        <v/>
      </c>
      <c r="F9" s="8" t="str">
        <f t="array" ref="F9">IF(NOT(ISERROR(MATCH($B9&amp;","&amp;F$2,$R$5:$R$14&amp;","&amp;$S$5:$S$14,0))),"X","")</f>
        <v/>
      </c>
      <c r="G9" s="8" t="str">
        <f t="array" ref="G9">IF(NOT(ISERROR(MATCH($B9&amp;","&amp;G$2,$R$5:$R$14&amp;","&amp;$S$5:$S$14,0))),"X","")</f>
        <v/>
      </c>
      <c r="H9" s="8" t="str">
        <f t="array" ref="H9">IF(NOT(ISERROR(MATCH($B9&amp;","&amp;H$2,$R$5:$R$14&amp;","&amp;$S$5:$S$14,0))),"X","")</f>
        <v/>
      </c>
      <c r="I9" s="8" t="str">
        <f t="array" ref="I9">IF(NOT(ISERROR(MATCH($B9&amp;","&amp;I$2,$R$5:$R$14&amp;","&amp;$S$5:$S$14,0))),"X","")</f>
        <v/>
      </c>
      <c r="J9" s="8" t="str">
        <f t="array" ref="J9">IF(NOT(ISERROR(MATCH($B9&amp;","&amp;J$2,$R$5:$R$14&amp;","&amp;$S$5:$S$14,0))),"X","")</f>
        <v/>
      </c>
      <c r="K9" s="8" t="str">
        <f t="array" ref="K9">IF(NOT(ISERROR(MATCH($B9&amp;","&amp;K$2,$R$5:$R$14&amp;","&amp;$S$5:$S$14,0))),"X","")</f>
        <v/>
      </c>
      <c r="L9" s="8" t="str">
        <f t="array" ref="L9">IF(NOT(ISERROR(MATCH($B9&amp;","&amp;L$2,$R$5:$R$14&amp;","&amp;$S$5:$S$14,0))),"X","")</f>
        <v/>
      </c>
      <c r="M9" s="8" t="str">
        <f t="array" ref="M9">IF(NOT(ISERROR(MATCH($B9&amp;","&amp;M$2,$R$5:$R$14&amp;","&amp;$S$5:$S$14,0))),"X","")</f>
        <v/>
      </c>
      <c r="N9" s="8" t="str">
        <f t="array" ref="N9">IF(NOT(ISERROR(MATCH($B9&amp;","&amp;N$2,$R$5:$R$14&amp;","&amp;$S$5:$S$14,0))),"X","")</f>
        <v/>
      </c>
      <c r="O9" s="9" t="str">
        <f t="array" ref="O9">IF(NOT(ISERROR(MATCH($B9&amp;","&amp;O$2,$R$5:$R$14&amp;","&amp;$S$5:$S$14,0))),"X","")</f>
        <v/>
      </c>
      <c r="P9" s="1">
        <v>1</v>
      </c>
      <c r="Q9" s="1">
        <v>3</v>
      </c>
      <c r="R9" s="10" t="s">
        <v>10</v>
      </c>
      <c r="S9" s="9" t="s">
        <v>10</v>
      </c>
      <c r="T9" s="1" t="str">
        <f t="shared" si="8"/>
        <v>[4, 2], [4, 3], [3, 3], [, ], [, ]</v>
      </c>
      <c r="V9" s="10" t="str">
        <f t="shared" si="0"/>
        <v/>
      </c>
      <c r="W9" s="9" t="str">
        <f t="shared" si="1"/>
        <v/>
      </c>
      <c r="X9" s="10" t="str">
        <f t="shared" si="2"/>
        <v/>
      </c>
      <c r="Y9" s="9" t="str">
        <f t="shared" si="3"/>
        <v/>
      </c>
      <c r="Z9" s="10" t="str">
        <f t="shared" si="4"/>
        <v/>
      </c>
      <c r="AA9" s="9" t="str">
        <f t="shared" si="5"/>
        <v/>
      </c>
      <c r="AB9" s="10" t="str">
        <f t="shared" si="6"/>
        <v/>
      </c>
      <c r="AC9" s="9" t="str">
        <f t="shared" si="7"/>
        <v/>
      </c>
      <c r="AK9" s="10" t="s">
        <v>15</v>
      </c>
      <c r="AL9" s="9" t="b">
        <f t="shared" si="9"/>
        <v>0</v>
      </c>
      <c r="AM9" s="1" t="b">
        <f t="shared" si="10"/>
        <v>1</v>
      </c>
      <c r="AN9" s="1" t="e">
        <f t="shared" si="11"/>
        <v>#VALUE!</v>
      </c>
    </row>
    <row r="10" spans="2:40" ht="24" customHeight="1" x14ac:dyDescent="0.3">
      <c r="B10" s="1">
        <v>7</v>
      </c>
      <c r="C10" s="10" t="str">
        <f t="array" ref="C10">IF(NOT(ISERROR(MATCH($B10&amp;","&amp;C$2,$R$5:$R$14&amp;","&amp;$S$5:$S$14,0))),"X","")</f>
        <v/>
      </c>
      <c r="D10" s="8" t="str">
        <f t="array" ref="D10">IF(NOT(ISERROR(MATCH($B10&amp;","&amp;D$2,$R$5:$R$14&amp;","&amp;$S$5:$S$14,0))),"X","")</f>
        <v/>
      </c>
      <c r="E10" s="8" t="str">
        <f t="array" ref="E10">IF(NOT(ISERROR(MATCH($B10&amp;","&amp;E$2,$R$5:$R$14&amp;","&amp;$S$5:$S$14,0))),"X","")</f>
        <v/>
      </c>
      <c r="F10" s="8" t="str">
        <f t="array" ref="F10">IF(NOT(ISERROR(MATCH($B10&amp;","&amp;F$2,$R$5:$R$14&amp;","&amp;$S$5:$S$14,0))),"X","")</f>
        <v/>
      </c>
      <c r="G10" s="8" t="str">
        <f t="array" ref="G10">IF(NOT(ISERROR(MATCH($B10&amp;","&amp;G$2,$R$5:$R$14&amp;","&amp;$S$5:$S$14,0))),"X","")</f>
        <v/>
      </c>
      <c r="H10" s="8" t="str">
        <f t="array" ref="H10">IF(NOT(ISERROR(MATCH($B10&amp;","&amp;H$2,$R$5:$R$14&amp;","&amp;$S$5:$S$14,0))),"X","")</f>
        <v/>
      </c>
      <c r="I10" s="8" t="str">
        <f t="array" ref="I10">IF(NOT(ISERROR(MATCH($B10&amp;","&amp;I$2,$R$5:$R$14&amp;","&amp;$S$5:$S$14,0))),"X","")</f>
        <v/>
      </c>
      <c r="J10" s="8" t="str">
        <f t="array" ref="J10">IF(NOT(ISERROR(MATCH($B10&amp;","&amp;J$2,$R$5:$R$14&amp;","&amp;$S$5:$S$14,0))),"X","")</f>
        <v/>
      </c>
      <c r="K10" s="8" t="str">
        <f t="array" ref="K10">IF(NOT(ISERROR(MATCH($B10&amp;","&amp;K$2,$R$5:$R$14&amp;","&amp;$S$5:$S$14,0))),"X","")</f>
        <v/>
      </c>
      <c r="L10" s="8" t="str">
        <f t="array" ref="L10">IF(NOT(ISERROR(MATCH($B10&amp;","&amp;L$2,$R$5:$R$14&amp;","&amp;$S$5:$S$14,0))),"X","")</f>
        <v/>
      </c>
      <c r="M10" s="8" t="str">
        <f t="array" ref="M10">IF(NOT(ISERROR(MATCH($B10&amp;","&amp;M$2,$R$5:$R$14&amp;","&amp;$S$5:$S$14,0))),"X","")</f>
        <v/>
      </c>
      <c r="N10" s="8" t="str">
        <f t="array" ref="N10">IF(NOT(ISERROR(MATCH($B10&amp;","&amp;N$2,$R$5:$R$14&amp;","&amp;$S$5:$S$14,0))),"X","")</f>
        <v/>
      </c>
      <c r="O10" s="9" t="str">
        <f t="array" ref="O10">IF(NOT(ISERROR(MATCH($B10&amp;","&amp;O$2,$R$5:$R$14&amp;","&amp;$S$5:$S$14,0))),"X","")</f>
        <v/>
      </c>
      <c r="P10" s="1">
        <v>0</v>
      </c>
      <c r="Q10" s="1">
        <v>3</v>
      </c>
      <c r="R10" s="10" t="s">
        <v>10</v>
      </c>
      <c r="S10" s="9" t="s">
        <v>10</v>
      </c>
      <c r="T10" s="1" t="str">
        <f t="shared" si="8"/>
        <v>[4, 2], [4, 3], [3, 3], [, ], [, ], [, ]</v>
      </c>
      <c r="V10" s="10" t="str">
        <f t="shared" si="0"/>
        <v/>
      </c>
      <c r="W10" s="9" t="str">
        <f t="shared" si="1"/>
        <v/>
      </c>
      <c r="X10" s="10" t="str">
        <f t="shared" si="2"/>
        <v/>
      </c>
      <c r="Y10" s="9" t="str">
        <f t="shared" si="3"/>
        <v/>
      </c>
      <c r="Z10" s="10" t="str">
        <f t="shared" si="4"/>
        <v/>
      </c>
      <c r="AA10" s="9" t="str">
        <f t="shared" si="5"/>
        <v/>
      </c>
      <c r="AB10" s="10" t="str">
        <f t="shared" si="6"/>
        <v/>
      </c>
      <c r="AC10" s="9" t="str">
        <f t="shared" si="7"/>
        <v/>
      </c>
      <c r="AK10" s="10" t="s">
        <v>16</v>
      </c>
      <c r="AL10" s="9" t="b">
        <f t="shared" si="9"/>
        <v>0</v>
      </c>
      <c r="AM10" s="1" t="b">
        <f t="shared" si="10"/>
        <v>1</v>
      </c>
      <c r="AN10" s="1" t="e">
        <f t="shared" si="11"/>
        <v>#VALUE!</v>
      </c>
    </row>
    <row r="11" spans="2:40" ht="24" customHeight="1" x14ac:dyDescent="0.3">
      <c r="B11" s="1">
        <v>8</v>
      </c>
      <c r="C11" s="10" t="str">
        <f t="array" ref="C11">IF(NOT(ISERROR(MATCH($B11&amp;","&amp;C$2,$R$5:$R$14&amp;","&amp;$S$5:$S$14,0))),"X","")</f>
        <v/>
      </c>
      <c r="D11" s="8" t="str">
        <f t="array" ref="D11">IF(NOT(ISERROR(MATCH($B11&amp;","&amp;D$2,$R$5:$R$14&amp;","&amp;$S$5:$S$14,0))),"X","")</f>
        <v/>
      </c>
      <c r="E11" s="8" t="str">
        <f t="array" ref="E11">IF(NOT(ISERROR(MATCH($B11&amp;","&amp;E$2,$R$5:$R$14&amp;","&amp;$S$5:$S$14,0))),"X","")</f>
        <v/>
      </c>
      <c r="F11" s="8" t="str">
        <f t="array" ref="F11">IF(NOT(ISERROR(MATCH($B11&amp;","&amp;F$2,$R$5:$R$14&amp;","&amp;$S$5:$S$14,0))),"X","")</f>
        <v/>
      </c>
      <c r="G11" s="8" t="str">
        <f t="array" ref="G11">IF(NOT(ISERROR(MATCH($B11&amp;","&amp;G$2,$R$5:$R$14&amp;","&amp;$S$5:$S$14,0))),"X","")</f>
        <v/>
      </c>
      <c r="H11" s="8" t="str">
        <f t="array" ref="H11">IF(NOT(ISERROR(MATCH($B11&amp;","&amp;H$2,$R$5:$R$14&amp;","&amp;$S$5:$S$14,0))),"X","")</f>
        <v/>
      </c>
      <c r="I11" s="8" t="str">
        <f t="array" ref="I11">IF(NOT(ISERROR(MATCH($B11&amp;","&amp;I$2,$R$5:$R$14&amp;","&amp;$S$5:$S$14,0))),"X","")</f>
        <v/>
      </c>
      <c r="J11" s="8" t="str">
        <f t="array" ref="J11">IF(NOT(ISERROR(MATCH($B11&amp;","&amp;J$2,$R$5:$R$14&amp;","&amp;$S$5:$S$14,0))),"X","")</f>
        <v/>
      </c>
      <c r="K11" s="8" t="str">
        <f t="array" ref="K11">IF(NOT(ISERROR(MATCH($B11&amp;","&amp;K$2,$R$5:$R$14&amp;","&amp;$S$5:$S$14,0))),"X","")</f>
        <v/>
      </c>
      <c r="L11" s="8" t="str">
        <f t="array" ref="L11">IF(NOT(ISERROR(MATCH($B11&amp;","&amp;L$2,$R$5:$R$14&amp;","&amp;$S$5:$S$14,0))),"X","")</f>
        <v/>
      </c>
      <c r="M11" s="8" t="str">
        <f t="array" ref="M11">IF(NOT(ISERROR(MATCH($B11&amp;","&amp;M$2,$R$5:$R$14&amp;","&amp;$S$5:$S$14,0))),"X","")</f>
        <v/>
      </c>
      <c r="N11" s="8" t="str">
        <f t="array" ref="N11">IF(NOT(ISERROR(MATCH($B11&amp;","&amp;N$2,$R$5:$R$14&amp;","&amp;$S$5:$S$14,0))),"X","")</f>
        <v/>
      </c>
      <c r="O11" s="9" t="str">
        <f t="array" ref="O11">IF(NOT(ISERROR(MATCH($B11&amp;","&amp;O$2,$R$5:$R$14&amp;","&amp;$S$5:$S$14,0))),"X","")</f>
        <v/>
      </c>
      <c r="P11" s="1">
        <v>0</v>
      </c>
      <c r="Q11" s="1">
        <v>2</v>
      </c>
      <c r="R11" s="10" t="s">
        <v>10</v>
      </c>
      <c r="S11" s="9" t="s">
        <v>10</v>
      </c>
      <c r="T11" s="1" t="str">
        <f t="shared" si="8"/>
        <v>[4, 2], [4, 3], [3, 3], [, ], [, ], [, ], [, ]</v>
      </c>
      <c r="V11" s="10" t="str">
        <f t="shared" si="0"/>
        <v/>
      </c>
      <c r="W11" s="9" t="str">
        <f t="shared" si="1"/>
        <v/>
      </c>
      <c r="X11" s="10" t="str">
        <f t="shared" si="2"/>
        <v/>
      </c>
      <c r="Y11" s="9" t="str">
        <f t="shared" si="3"/>
        <v/>
      </c>
      <c r="Z11" s="10" t="str">
        <f t="shared" si="4"/>
        <v/>
      </c>
      <c r="AA11" s="9" t="str">
        <f t="shared" si="5"/>
        <v/>
      </c>
      <c r="AB11" s="10" t="str">
        <f t="shared" si="6"/>
        <v/>
      </c>
      <c r="AC11" s="9" t="str">
        <f t="shared" si="7"/>
        <v/>
      </c>
      <c r="AK11" s="10" t="s">
        <v>17</v>
      </c>
      <c r="AL11" s="9" t="b">
        <f t="shared" si="9"/>
        <v>0</v>
      </c>
      <c r="AM11" s="1" t="b">
        <f t="shared" si="10"/>
        <v>1</v>
      </c>
      <c r="AN11" s="1" t="e">
        <f t="shared" si="11"/>
        <v>#VALUE!</v>
      </c>
    </row>
    <row r="12" spans="2:40" ht="24" customHeight="1" x14ac:dyDescent="0.3">
      <c r="B12" s="1">
        <v>9</v>
      </c>
      <c r="C12" s="10" t="str">
        <f t="array" ref="C12">IF(NOT(ISERROR(MATCH($B12&amp;","&amp;C$2,$R$5:$R$14&amp;","&amp;$S$5:$S$14,0))),"X","")</f>
        <v/>
      </c>
      <c r="D12" s="8" t="str">
        <f t="array" ref="D12">IF(NOT(ISERROR(MATCH($B12&amp;","&amp;D$2,$R$5:$R$14&amp;","&amp;$S$5:$S$14,0))),"X","")</f>
        <v/>
      </c>
      <c r="E12" s="8" t="str">
        <f t="array" ref="E12">IF(NOT(ISERROR(MATCH($B12&amp;","&amp;E$2,$R$5:$R$14&amp;","&amp;$S$5:$S$14,0))),"X","")</f>
        <v/>
      </c>
      <c r="F12" s="8" t="str">
        <f t="array" ref="F12">IF(NOT(ISERROR(MATCH($B12&amp;","&amp;F$2,$R$5:$R$14&amp;","&amp;$S$5:$S$14,0))),"X","")</f>
        <v/>
      </c>
      <c r="G12" s="8" t="str">
        <f t="array" ref="G12">IF(NOT(ISERROR(MATCH($B12&amp;","&amp;G$2,$R$5:$R$14&amp;","&amp;$S$5:$S$14,0))),"X","")</f>
        <v/>
      </c>
      <c r="H12" s="8" t="str">
        <f t="array" ref="H12">IF(NOT(ISERROR(MATCH($B12&amp;","&amp;H$2,$R$5:$R$14&amp;","&amp;$S$5:$S$14,0))),"X","")</f>
        <v/>
      </c>
      <c r="I12" s="8" t="str">
        <f t="array" ref="I12">IF(NOT(ISERROR(MATCH($B12&amp;","&amp;I$2,$R$5:$R$14&amp;","&amp;$S$5:$S$14,0))),"X","")</f>
        <v/>
      </c>
      <c r="J12" s="8" t="str">
        <f t="array" ref="J12">IF(NOT(ISERROR(MATCH($B12&amp;","&amp;J$2,$R$5:$R$14&amp;","&amp;$S$5:$S$14,0))),"X","")</f>
        <v/>
      </c>
      <c r="K12" s="8" t="str">
        <f t="array" ref="K12">IF(NOT(ISERROR(MATCH($B12&amp;","&amp;K$2,$R$5:$R$14&amp;","&amp;$S$5:$S$14,0))),"X","")</f>
        <v/>
      </c>
      <c r="L12" s="8" t="str">
        <f t="array" ref="L12">IF(NOT(ISERROR(MATCH($B12&amp;","&amp;L$2,$R$5:$R$14&amp;","&amp;$S$5:$S$14,0))),"X","")</f>
        <v/>
      </c>
      <c r="M12" s="8" t="str">
        <f t="array" ref="M12">IF(NOT(ISERROR(MATCH($B12&amp;","&amp;M$2,$R$5:$R$14&amp;","&amp;$S$5:$S$14,0))),"X","")</f>
        <v/>
      </c>
      <c r="N12" s="8" t="str">
        <f t="array" ref="N12">IF(NOT(ISERROR(MATCH($B12&amp;","&amp;N$2,$R$5:$R$14&amp;","&amp;$S$5:$S$14,0))),"X","")</f>
        <v/>
      </c>
      <c r="O12" s="9" t="str">
        <f t="array" ref="O12">IF(NOT(ISERROR(MATCH($B12&amp;","&amp;O$2,$R$5:$R$14&amp;","&amp;$S$5:$S$14,0))),"X","")</f>
        <v/>
      </c>
      <c r="P12" s="1" t="s">
        <v>10</v>
      </c>
      <c r="Q12" s="1" t="s">
        <v>10</v>
      </c>
      <c r="R12" s="10" t="s">
        <v>10</v>
      </c>
      <c r="S12" s="9" t="s">
        <v>10</v>
      </c>
      <c r="T12" s="1" t="str">
        <f t="shared" si="8"/>
        <v>[4, 2], [4, 3], [3, 3], [, ], [, ], [, ], [, ], [, ]</v>
      </c>
      <c r="V12" s="10" t="str">
        <f>IF($R12="","",$R11)</f>
        <v/>
      </c>
      <c r="W12" s="9" t="str">
        <f>IF($S12="","",$S11)</f>
        <v/>
      </c>
      <c r="X12" s="10" t="str">
        <f t="shared" si="2"/>
        <v/>
      </c>
      <c r="Y12" s="9" t="str">
        <f t="shared" si="3"/>
        <v/>
      </c>
      <c r="Z12" s="10" t="str">
        <f t="shared" si="4"/>
        <v/>
      </c>
      <c r="AA12" s="9" t="str">
        <f t="shared" si="5"/>
        <v/>
      </c>
      <c r="AB12" s="10" t="str">
        <f t="shared" si="6"/>
        <v/>
      </c>
      <c r="AC12" s="9" t="str">
        <f t="shared" si="7"/>
        <v/>
      </c>
      <c r="AK12" s="10" t="s">
        <v>18</v>
      </c>
      <c r="AL12" s="9" t="b">
        <f t="shared" si="9"/>
        <v>0</v>
      </c>
      <c r="AM12" s="1" t="b">
        <f t="shared" si="10"/>
        <v>1</v>
      </c>
      <c r="AN12" s="1" t="e">
        <f t="shared" si="11"/>
        <v>#VALUE!</v>
      </c>
    </row>
    <row r="13" spans="2:40" ht="24" customHeight="1" x14ac:dyDescent="0.3">
      <c r="B13" s="1">
        <v>10</v>
      </c>
      <c r="C13" s="10" t="str">
        <f t="array" ref="C13">IF(NOT(ISERROR(MATCH($B13&amp;","&amp;C$2,$R$5:$R$14&amp;","&amp;$S$5:$S$14,0))),"X","")</f>
        <v/>
      </c>
      <c r="D13" s="8" t="str">
        <f t="array" ref="D13">IF(NOT(ISERROR(MATCH($B13&amp;","&amp;D$2,$R$5:$R$14&amp;","&amp;$S$5:$S$14,0))),"X","")</f>
        <v/>
      </c>
      <c r="E13" s="8" t="str">
        <f t="array" ref="E13">IF(NOT(ISERROR(MATCH($B13&amp;","&amp;E$2,$R$5:$R$14&amp;","&amp;$S$5:$S$14,0))),"X","")</f>
        <v/>
      </c>
      <c r="F13" s="8" t="str">
        <f t="array" ref="F13">IF(NOT(ISERROR(MATCH($B13&amp;","&amp;F$2,$R$5:$R$14&amp;","&amp;$S$5:$S$14,0))),"X","")</f>
        <v/>
      </c>
      <c r="G13" s="8" t="str">
        <f t="array" ref="G13">IF(NOT(ISERROR(MATCH($B13&amp;","&amp;G$2,$R$5:$R$14&amp;","&amp;$S$5:$S$14,0))),"X","")</f>
        <v/>
      </c>
      <c r="H13" s="8" t="str">
        <f t="array" ref="H13">IF(NOT(ISERROR(MATCH($B13&amp;","&amp;H$2,$R$5:$R$14&amp;","&amp;$S$5:$S$14,0))),"X","")</f>
        <v/>
      </c>
      <c r="I13" s="8" t="str">
        <f t="array" ref="I13">IF(NOT(ISERROR(MATCH($B13&amp;","&amp;I$2,$R$5:$R$14&amp;","&amp;$S$5:$S$14,0))),"X","")</f>
        <v/>
      </c>
      <c r="J13" s="8" t="str">
        <f t="array" ref="J13">IF(NOT(ISERROR(MATCH($B13&amp;","&amp;J$2,$R$5:$R$14&amp;","&amp;$S$5:$S$14,0))),"X","")</f>
        <v/>
      </c>
      <c r="K13" s="8" t="str">
        <f t="array" ref="K13">IF(NOT(ISERROR(MATCH($B13&amp;","&amp;K$2,$R$5:$R$14&amp;","&amp;$S$5:$S$14,0))),"X","")</f>
        <v/>
      </c>
      <c r="L13" s="8" t="str">
        <f t="array" ref="L13">IF(NOT(ISERROR(MATCH($B13&amp;","&amp;L$2,$R$5:$R$14&amp;","&amp;$S$5:$S$14,0))),"X","")</f>
        <v/>
      </c>
      <c r="M13" s="8" t="str">
        <f t="array" ref="M13">IF(NOT(ISERROR(MATCH($B13&amp;","&amp;M$2,$R$5:$R$14&amp;","&amp;$S$5:$S$14,0))),"X","")</f>
        <v/>
      </c>
      <c r="N13" s="8" t="str">
        <f t="array" ref="N13">IF(NOT(ISERROR(MATCH($B13&amp;","&amp;N$2,$R$5:$R$14&amp;","&amp;$S$5:$S$14,0))),"X","")</f>
        <v/>
      </c>
      <c r="O13" s="9" t="str">
        <f t="array" ref="O13">IF(NOT(ISERROR(MATCH($B13&amp;","&amp;O$2,$R$5:$R$14&amp;","&amp;$S$5:$S$14,0))),"X","")</f>
        <v/>
      </c>
      <c r="P13" s="1" t="s">
        <v>10</v>
      </c>
      <c r="Q13" s="1" t="s">
        <v>10</v>
      </c>
      <c r="R13" s="10" t="s">
        <v>10</v>
      </c>
      <c r="S13" s="9" t="s">
        <v>10</v>
      </c>
      <c r="T13" s="1" t="str">
        <f t="shared" si="8"/>
        <v>[4, 2], [4, 3], [3, 3], [, ], [, ], [, ], [, ], [, ], [, ]</v>
      </c>
      <c r="V13" s="10" t="str">
        <f t="shared" ref="V13:V14" si="12">IF($R13="","",$R12)</f>
        <v/>
      </c>
      <c r="W13" s="9" t="str">
        <f t="shared" ref="W13:W14" si="13">IF($S13="","",$S12)</f>
        <v/>
      </c>
      <c r="X13" s="10" t="str">
        <f t="shared" si="2"/>
        <v/>
      </c>
      <c r="Y13" s="9" t="str">
        <f t="shared" si="3"/>
        <v/>
      </c>
      <c r="Z13" s="10" t="str">
        <f t="shared" si="4"/>
        <v/>
      </c>
      <c r="AA13" s="9" t="str">
        <f t="shared" si="5"/>
        <v/>
      </c>
      <c r="AB13" s="10" t="str">
        <f t="shared" si="6"/>
        <v/>
      </c>
      <c r="AC13" s="9" t="str">
        <f t="shared" si="7"/>
        <v/>
      </c>
      <c r="AK13" s="10" t="s">
        <v>19</v>
      </c>
      <c r="AL13" s="9" t="b">
        <f t="shared" si="9"/>
        <v>0</v>
      </c>
      <c r="AM13" s="1" t="b">
        <f t="shared" si="10"/>
        <v>1</v>
      </c>
      <c r="AN13" s="1" t="e">
        <f t="shared" si="11"/>
        <v>#VALUE!</v>
      </c>
    </row>
    <row r="14" spans="2:40" ht="24" customHeight="1" thickBot="1" x14ac:dyDescent="0.35">
      <c r="B14" s="1">
        <v>11</v>
      </c>
      <c r="C14" s="10" t="str">
        <f t="array" ref="C14">IF(NOT(ISERROR(MATCH($B14&amp;","&amp;C$2,$R$5:$R$14&amp;","&amp;$S$5:$S$14,0))),"X","")</f>
        <v/>
      </c>
      <c r="D14" s="8" t="str">
        <f t="array" ref="D14">IF(NOT(ISERROR(MATCH($B14&amp;","&amp;D$2,$R$5:$R$14&amp;","&amp;$S$5:$S$14,0))),"X","")</f>
        <v/>
      </c>
      <c r="E14" s="8" t="str">
        <f t="array" ref="E14">IF(NOT(ISERROR(MATCH($B14&amp;","&amp;E$2,$R$5:$R$14&amp;","&amp;$S$5:$S$14,0))),"X","")</f>
        <v/>
      </c>
      <c r="F14" s="8" t="str">
        <f t="array" ref="F14">IF(NOT(ISERROR(MATCH($B14&amp;","&amp;F$2,$R$5:$R$14&amp;","&amp;$S$5:$S$14,0))),"X","")</f>
        <v/>
      </c>
      <c r="G14" s="8" t="str">
        <f t="array" ref="G14">IF(NOT(ISERROR(MATCH($B14&amp;","&amp;G$2,$R$5:$R$14&amp;","&amp;$S$5:$S$14,0))),"X","")</f>
        <v/>
      </c>
      <c r="H14" s="8" t="str">
        <f t="array" ref="H14">IF(NOT(ISERROR(MATCH($B14&amp;","&amp;H$2,$R$5:$R$14&amp;","&amp;$S$5:$S$14,0))),"X","")</f>
        <v/>
      </c>
      <c r="I14" s="8" t="str">
        <f t="array" ref="I14">IF(NOT(ISERROR(MATCH($B14&amp;","&amp;I$2,$R$5:$R$14&amp;","&amp;$S$5:$S$14,0))),"X","")</f>
        <v/>
      </c>
      <c r="J14" s="8" t="str">
        <f t="array" ref="J14">IF(NOT(ISERROR(MATCH($B14&amp;","&amp;J$2,$R$5:$R$14&amp;","&amp;$S$5:$S$14,0))),"X","")</f>
        <v/>
      </c>
      <c r="K14" s="8" t="str">
        <f t="array" ref="K14">IF(NOT(ISERROR(MATCH($B14&amp;","&amp;K$2,$R$5:$R$14&amp;","&amp;$S$5:$S$14,0))),"X","")</f>
        <v/>
      </c>
      <c r="L14" s="8" t="str">
        <f t="array" ref="L14">IF(NOT(ISERROR(MATCH($B14&amp;","&amp;L$2,$R$5:$R$14&amp;","&amp;$S$5:$S$14,0))),"X","")</f>
        <v/>
      </c>
      <c r="M14" s="8" t="str">
        <f t="array" ref="M14">IF(NOT(ISERROR(MATCH($B14&amp;","&amp;M$2,$R$5:$R$14&amp;","&amp;$S$5:$S$14,0))),"X","")</f>
        <v/>
      </c>
      <c r="N14" s="8" t="str">
        <f t="array" ref="N14">IF(NOT(ISERROR(MATCH($B14&amp;","&amp;N$2,$R$5:$R$14&amp;","&amp;$S$5:$S$14,0))),"X","")</f>
        <v/>
      </c>
      <c r="O14" s="9" t="str">
        <f t="array" ref="O14">IF(NOT(ISERROR(MATCH($B14&amp;","&amp;O$2,$R$5:$R$14&amp;","&amp;$S$5:$S$14,0))),"X","")</f>
        <v/>
      </c>
      <c r="P14" s="1" t="s">
        <v>10</v>
      </c>
      <c r="Q14" s="1" t="s">
        <v>10</v>
      </c>
      <c r="R14" s="11" t="s">
        <v>10</v>
      </c>
      <c r="S14" s="13" t="s">
        <v>10</v>
      </c>
      <c r="T14" s="1" t="str">
        <f>"["&amp;T13&amp;", "&amp;"["&amp;R14&amp;", "&amp;S14&amp;"]"&amp;"]"</f>
        <v>[[4, 2], [4, 3], [3, 3], [, ], [, ], [, ], [, ], [, ], [, ], [, ]]</v>
      </c>
      <c r="V14" s="11" t="str">
        <f t="shared" si="12"/>
        <v/>
      </c>
      <c r="W14" s="13" t="str">
        <f t="shared" si="13"/>
        <v/>
      </c>
      <c r="X14" s="11" t="str">
        <f t="shared" si="2"/>
        <v/>
      </c>
      <c r="Y14" s="13" t="str">
        <f t="shared" si="3"/>
        <v/>
      </c>
      <c r="Z14" s="11" t="str">
        <f t="shared" si="4"/>
        <v/>
      </c>
      <c r="AA14" s="13" t="str">
        <f t="shared" si="5"/>
        <v/>
      </c>
      <c r="AB14" s="11" t="str">
        <f t="shared" si="6"/>
        <v/>
      </c>
      <c r="AC14" s="13" t="str">
        <f t="shared" si="7"/>
        <v/>
      </c>
      <c r="AK14" s="11" t="s">
        <v>20</v>
      </c>
      <c r="AL14" s="13" t="b">
        <f t="shared" si="9"/>
        <v>0</v>
      </c>
      <c r="AM14" s="1" t="b">
        <f t="shared" si="10"/>
        <v>1</v>
      </c>
      <c r="AN14" s="1" t="e">
        <f t="shared" si="11"/>
        <v>#VALUE!</v>
      </c>
    </row>
    <row r="15" spans="2:40" ht="24" customHeight="1" thickBot="1" x14ac:dyDescent="0.35">
      <c r="B15" s="1">
        <v>12</v>
      </c>
      <c r="C15" s="11" t="str">
        <f t="array" ref="C15">IF(NOT(ISERROR(MATCH($B15&amp;","&amp;C$2,$R$5:$R$14&amp;","&amp;$S$5:$S$14,0))),"X","")</f>
        <v/>
      </c>
      <c r="D15" s="12" t="str">
        <f t="array" ref="D15">IF(NOT(ISERROR(MATCH($B15&amp;","&amp;D$2,$R$5:$R$14&amp;","&amp;$S$5:$S$14,0))),"X","")</f>
        <v/>
      </c>
      <c r="E15" s="12" t="str">
        <f t="array" ref="E15">IF(NOT(ISERROR(MATCH($B15&amp;","&amp;E$2,$R$5:$R$14&amp;","&amp;$S$5:$S$14,0))),"X","")</f>
        <v/>
      </c>
      <c r="F15" s="12" t="str">
        <f t="array" ref="F15">IF(NOT(ISERROR(MATCH($B15&amp;","&amp;F$2,$R$5:$R$14&amp;","&amp;$S$5:$S$14,0))),"X","")</f>
        <v/>
      </c>
      <c r="G15" s="12" t="str">
        <f t="array" ref="G15">IF(NOT(ISERROR(MATCH($B15&amp;","&amp;G$2,$R$5:$R$14&amp;","&amp;$S$5:$S$14,0))),"X","")</f>
        <v/>
      </c>
      <c r="H15" s="12" t="str">
        <f t="array" ref="H15">IF(NOT(ISERROR(MATCH($B15&amp;","&amp;H$2,$R$5:$R$14&amp;","&amp;$S$5:$S$14,0))),"X","")</f>
        <v/>
      </c>
      <c r="I15" s="12" t="str">
        <f t="array" ref="I15">IF(NOT(ISERROR(MATCH($B15&amp;","&amp;I$2,$R$5:$R$14&amp;","&amp;$S$5:$S$14,0))),"X","")</f>
        <v/>
      </c>
      <c r="J15" s="12" t="str">
        <f t="array" ref="J15">IF(NOT(ISERROR(MATCH($B15&amp;","&amp;J$2,$R$5:$R$14&amp;","&amp;$S$5:$S$14,0))),"X","")</f>
        <v/>
      </c>
      <c r="K15" s="12" t="str">
        <f t="array" ref="K15">IF(NOT(ISERROR(MATCH($B15&amp;","&amp;K$2,$R$5:$R$14&amp;","&amp;$S$5:$S$14,0))),"X","")</f>
        <v/>
      </c>
      <c r="L15" s="12" t="str">
        <f t="array" ref="L15">IF(NOT(ISERROR(MATCH($B15&amp;","&amp;L$2,$R$5:$R$14&amp;","&amp;$S$5:$S$14,0))),"X","")</f>
        <v/>
      </c>
      <c r="M15" s="12" t="str">
        <f t="array" ref="M15">IF(NOT(ISERROR(MATCH($B15&amp;","&amp;M$2,$R$5:$R$14&amp;","&amp;$S$5:$S$14,0))),"X","")</f>
        <v/>
      </c>
      <c r="N15" s="12" t="str">
        <f t="array" ref="N15">IF(NOT(ISERROR(MATCH($B15&amp;","&amp;N$2,$R$5:$R$14&amp;","&amp;$S$5:$S$14,0))),"X","")</f>
        <v/>
      </c>
      <c r="O15" s="13" t="str">
        <f t="array" ref="O15">IF(NOT(ISERROR(MATCH($B15&amp;","&amp;O$2,$R$5:$R$14&amp;","&amp;$S$5:$S$14,0))),"X","")</f>
        <v/>
      </c>
    </row>
    <row r="16" spans="2:40" ht="24" customHeight="1" x14ac:dyDescent="0.3"/>
  </sheetData>
  <sortState ref="Q5:S11">
    <sortCondition descending="1" ref="Q5:Q11"/>
  </sortState>
  <conditionalFormatting sqref="C3:O15">
    <cfRule type="expression" dxfId="6" priority="6">
      <formula>AND($B3&lt;$R$2,C$2&lt;$S$2)</formula>
    </cfRule>
    <cfRule type="expression" dxfId="0" priority="7">
      <formula>AND(C3="X",$B3&lt;$R$2,C$2&lt;$S$2)</formula>
    </cfRule>
  </conditionalFormatting>
  <conditionalFormatting sqref="X5:Y14">
    <cfRule type="expression" dxfId="5" priority="4">
      <formula>$AG$7</formula>
    </cfRule>
  </conditionalFormatting>
  <conditionalFormatting sqref="Z5:AA14">
    <cfRule type="expression" dxfId="4" priority="9">
      <formula>$AH$7</formula>
    </cfRule>
  </conditionalFormatting>
  <conditionalFormatting sqref="V5:W14">
    <cfRule type="expression" dxfId="3" priority="10">
      <formula>$AF$7</formula>
    </cfRule>
  </conditionalFormatting>
  <conditionalFormatting sqref="AB5:AC14">
    <cfRule type="expression" dxfId="2" priority="13">
      <formula>$AI$7</formula>
    </cfRule>
  </conditionalFormatting>
  <conditionalFormatting sqref="R5:S14">
    <cfRule type="expression" dxfId="1" priority="1">
      <formula>$AL5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move_down">
          <controlPr defaultSize="0" autoLine="0" r:id="rId5">
            <anchor moveWithCells="1">
              <from>
                <xdr:col>24</xdr:col>
                <xdr:colOff>38100</xdr:colOff>
                <xdr:row>1</xdr:row>
                <xdr:rowOff>15240</xdr:rowOff>
              </from>
              <to>
                <xdr:col>24</xdr:col>
                <xdr:colOff>419100</xdr:colOff>
                <xdr:row>1</xdr:row>
                <xdr:rowOff>297180</xdr:rowOff>
              </to>
            </anchor>
          </controlPr>
        </control>
      </mc:Choice>
      <mc:Fallback>
        <control shapeId="1028" r:id="rId4" name="move_down"/>
      </mc:Fallback>
    </mc:AlternateContent>
    <mc:AlternateContent xmlns:mc="http://schemas.openxmlformats.org/markup-compatibility/2006">
      <mc:Choice Requires="x14">
        <control shapeId="1027" r:id="rId6" name="move_left">
          <controlPr defaultSize="0" autoLine="0" r:id="rId7">
            <anchor moveWithCells="1">
              <from>
                <xdr:col>23</xdr:col>
                <xdr:colOff>30480</xdr:colOff>
                <xdr:row>1</xdr:row>
                <xdr:rowOff>15240</xdr:rowOff>
              </from>
              <to>
                <xdr:col>23</xdr:col>
                <xdr:colOff>411480</xdr:colOff>
                <xdr:row>1</xdr:row>
                <xdr:rowOff>297180</xdr:rowOff>
              </to>
            </anchor>
          </controlPr>
        </control>
      </mc:Choice>
      <mc:Fallback>
        <control shapeId="1027" r:id="rId6" name="move_left"/>
      </mc:Fallback>
    </mc:AlternateContent>
    <mc:AlternateContent xmlns:mc="http://schemas.openxmlformats.org/markup-compatibility/2006">
      <mc:Choice Requires="x14">
        <control shapeId="1026" r:id="rId8" name="move_right">
          <controlPr defaultSize="0" disabled="1" autoLine="0" r:id="rId9">
            <anchor moveWithCells="1">
              <from>
                <xdr:col>25</xdr:col>
                <xdr:colOff>22860</xdr:colOff>
                <xdr:row>1</xdr:row>
                <xdr:rowOff>15240</xdr:rowOff>
              </from>
              <to>
                <xdr:col>25</xdr:col>
                <xdr:colOff>403860</xdr:colOff>
                <xdr:row>1</xdr:row>
                <xdr:rowOff>297180</xdr:rowOff>
              </to>
            </anchor>
          </controlPr>
        </control>
      </mc:Choice>
      <mc:Fallback>
        <control shapeId="1026" r:id="rId8" name="move_right"/>
      </mc:Fallback>
    </mc:AlternateContent>
    <mc:AlternateContent xmlns:mc="http://schemas.openxmlformats.org/markup-compatibility/2006">
      <mc:Choice Requires="x14">
        <control shapeId="1025" r:id="rId10" name="move_up">
          <controlPr defaultSize="0" autoLine="0" r:id="rId11">
            <anchor moveWithCells="1">
              <from>
                <xdr:col>24</xdr:col>
                <xdr:colOff>45720</xdr:colOff>
                <xdr:row>0</xdr:row>
                <xdr:rowOff>15240</xdr:rowOff>
              </from>
              <to>
                <xdr:col>24</xdr:col>
                <xdr:colOff>426720</xdr:colOff>
                <xdr:row>0</xdr:row>
                <xdr:rowOff>297180</xdr:rowOff>
              </to>
            </anchor>
          </controlPr>
        </control>
      </mc:Choice>
      <mc:Fallback>
        <control shapeId="1025" r:id="rId10" name="move_u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JRCS</dc:creator>
  <cp:lastModifiedBy>JRCS</cp:lastModifiedBy>
  <dcterms:created xsi:type="dcterms:W3CDTF">2022-04-12T20:19:33Z</dcterms:created>
  <dcterms:modified xsi:type="dcterms:W3CDTF">2022-04-13T19:46:39Z</dcterms:modified>
</cp:coreProperties>
</file>